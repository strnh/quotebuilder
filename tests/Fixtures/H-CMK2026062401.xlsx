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見積" sheetId="1" state="visible" r:id="rId3"/>
  </sheets>
  <definedNames>
    <definedName function="false" hidden="false" localSheetId="0" name="_xlnm.Print_Area" vbProcedure="false">見積!$A$1:$I$42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<sst xmlns="http://schemas.openxmlformats.org/spreadsheetml/2006/main" count="40" uniqueCount="39">
  <si>
    <t xml:space="preserve">H-CMK2026062401</t>
  </si>
  <si>
    <t xml:space="preserve">中央鍍金工業協同組合　御中</t>
  </si>
  <si>
    <t xml:space="preserve">下記のとおり御見積り申し上げます。</t>
  </si>
  <si>
    <t xml:space="preserve">　</t>
  </si>
  <si>
    <t xml:space="preserve">件             名：</t>
  </si>
  <si>
    <t xml:space="preserve">UPS 一式</t>
  </si>
  <si>
    <r>
      <rPr>
        <b val="true"/>
        <i val="true"/>
        <sz val="18"/>
        <rFont val="Bookman Old Style"/>
        <family val="1"/>
        <charset val="1"/>
      </rPr>
      <t xml:space="preserve">CREW  </t>
    </r>
    <r>
      <rPr>
        <sz val="12"/>
        <rFont val="ＭＳ Ｐゴシック"/>
        <family val="3"/>
        <charset val="1"/>
      </rPr>
      <t xml:space="preserve">有限会社</t>
    </r>
    <r>
      <rPr>
        <sz val="18"/>
        <rFont val="ＭＳ Ｐ明朝"/>
        <family val="1"/>
        <charset val="1"/>
      </rPr>
      <t xml:space="preserve"> </t>
    </r>
    <r>
      <rPr>
        <b val="true"/>
        <sz val="18"/>
        <rFont val="ＭＳ Ｐゴシック"/>
        <family val="3"/>
        <charset val="1"/>
      </rPr>
      <t xml:space="preserve">クルー</t>
    </r>
  </si>
  <si>
    <t xml:space="preserve">納  入  場  所：</t>
  </si>
  <si>
    <t xml:space="preserve">ご指定場所</t>
  </si>
  <si>
    <t xml:space="preserve"> 横浜市神奈川区台町14-15</t>
  </si>
  <si>
    <t xml:space="preserve">納             期：</t>
  </si>
  <si>
    <t xml:space="preserve">TEL:045-290-3890 / FAX 045-290-3891</t>
  </si>
  <si>
    <t xml:space="preserve">御 支 払 条 件：</t>
  </si>
  <si>
    <t xml:space="preserve">担    当： </t>
  </si>
  <si>
    <t xml:space="preserve">彦坂　総太郎</t>
  </si>
  <si>
    <t xml:space="preserve">見積有効期限：</t>
  </si>
  <si>
    <t xml:space="preserve">お見積り日から30日以内</t>
  </si>
  <si>
    <t xml:space="preserve">合計金額：</t>
  </si>
  <si>
    <t xml:space="preserve">．-(消費税含む)</t>
  </si>
  <si>
    <t xml:space="preserve">№</t>
  </si>
  <si>
    <t xml:space="preserve">商  品  名</t>
  </si>
  <si>
    <t xml:space="preserve">仕     様</t>
  </si>
  <si>
    <t xml:space="preserve">数量</t>
  </si>
  <si>
    <t xml:space="preserve">単位</t>
  </si>
  <si>
    <t xml:space="preserve">標準価格</t>
  </si>
  <si>
    <t xml:space="preserve">納入単価</t>
  </si>
  <si>
    <t xml:space="preserve">納入価格</t>
  </si>
  <si>
    <t xml:space="preserve">原  単  価</t>
  </si>
  <si>
    <t xml:space="preserve">BR550S-JP E</t>
  </si>
  <si>
    <t xml:space="preserve">500VA UPS</t>
  </si>
  <si>
    <t xml:space="preserve">式</t>
  </si>
  <si>
    <t xml:space="preserve">設置作業</t>
  </si>
  <si>
    <t xml:space="preserve">以下余白</t>
  </si>
  <si>
    <t xml:space="preserve">小計</t>
  </si>
  <si>
    <t xml:space="preserve">                                                      </t>
  </si>
  <si>
    <t xml:space="preserve">消費税(10%)</t>
  </si>
  <si>
    <t xml:space="preserve">合計</t>
  </si>
  <si>
    <t xml:space="preserve">備考：</t>
  </si>
  <si>
    <t xml:space="preserve">機材寿命につき更新になります。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</si>
</sst>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\月d\日"/>
    <numFmt numFmtId="166" formatCode="yyyy\年m\月d\日"/>
    <numFmt numFmtId="167" formatCode="[$￥-411]#,##0;[RED]\-[$￥-411]#,##0"/>
    <numFmt numFmtId="168" formatCode="#,##0;&quot;▲ &quot;#,##0"/>
    <numFmt numFmtId="169" formatCode="#,##0"/>
    <numFmt numFmtId="170" formatCode="#,##0;[RED]\-#,##0"/>
  </numFmts>
  <fonts count="20">
    <font>
      <sz val="11"/>
      <name val="ＭＳ Ｐゴシック"/>
      <family val="3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name val="ＭＳ Ｐゴシック"/>
      <family val="3"/>
      <charset val="1"/>
    </font>
    <font>
      <u val="single"/>
      <sz val="16"/>
      <name val="ＭＳ Ｐゴシック"/>
      <family val="3"/>
      <charset val="1"/>
    </font>
    <font>
      <sz val="11"/>
      <name val="ＭＳ Ｐ明朝"/>
      <family val="1"/>
      <charset val="1"/>
    </font>
    <font>
      <b val="true"/>
      <i val="true"/>
      <sz val="18"/>
      <name val="ＭＳ Ｐゴシック"/>
      <family val="3"/>
      <charset val="1"/>
    </font>
    <font>
      <b val="true"/>
      <i val="true"/>
      <sz val="18"/>
      <name val="Bookman Old Style"/>
      <family val="1"/>
      <charset val="1"/>
    </font>
    <font>
      <sz val="12"/>
      <name val="ＭＳ Ｐゴシック"/>
      <family val="3"/>
      <charset val="1"/>
    </font>
    <font>
      <sz val="18"/>
      <name val="ＭＳ Ｐ明朝"/>
      <family val="1"/>
      <charset val="1"/>
    </font>
    <font>
      <b val="true"/>
      <sz val="18"/>
      <name val="ＭＳ Ｐゴシック"/>
      <family val="3"/>
      <charset val="1"/>
    </font>
    <font>
      <sz val="10"/>
      <name val="ＭＳ Ｐゴシック"/>
      <family val="3"/>
      <charset val="1"/>
    </font>
    <font>
      <sz val="14"/>
      <name val="ＭＳ Ｐゴシック"/>
      <family val="3"/>
      <charset val="1"/>
    </font>
    <font>
      <sz val="18"/>
      <name val="ＭＳ Ｐゴシック"/>
      <family val="3"/>
      <charset val="1"/>
    </font>
    <font>
      <b val="true"/>
      <sz val="11"/>
      <name val="ＭＳ Ｐゴシック"/>
      <family val="3"/>
      <charset val="1"/>
    </font>
    <font>
      <b val="true"/>
      <sz val="10"/>
      <name val="ＭＳ Ｐ明朝"/>
      <family val="1"/>
      <charset val="1"/>
    </font>
    <font>
      <b val="true"/>
      <sz val="12"/>
      <name val="Noto Sans Mono CJK JP"/>
      <family val="2"/>
      <charset val="1"/>
    </font>
    <font>
      <sz val="12"/>
      <name val="Noto Sans Mono CJK JP"/>
      <family val="2"/>
      <charset val="1"/>
    </font>
    <font>
      <b val="true"/>
      <sz val="12"/>
      <name val="ＭＳ Ｐ明朝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1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0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7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7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5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15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2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2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2" borderId="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8" fontId="17" fillId="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7" fillId="2" borderId="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8" fontId="1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2" borderId="5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15" fillId="2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7" fillId="0" borderId="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8" fontId="17" fillId="0" borderId="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8" fontId="18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8" fillId="2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8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7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7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7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7" fillId="2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7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7" fillId="0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9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5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7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8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2" xfId="0" applyFont="false" applyBorder="true" applyAlignment="true" applyProtection="true">
      <alignment horizontal="left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25" colorId="64" zoomScale="83" zoomScaleNormal="83" zoomScalePageLayoutView="100" workbookViewId="0">
      <selection pane="topLeft" activeCell="B41" activeCellId="0" sqref="B4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3.69"/>
    <col collapsed="false" customWidth="true" hidden="false" outlineLevel="0" max="3" min="3" style="1" width="14.79"/>
    <col collapsed="false" customWidth="true" hidden="false" outlineLevel="0" max="4" min="4" style="1" width="14.22"/>
    <col collapsed="false" customWidth="true" hidden="false" outlineLevel="0" max="5" min="5" style="2" width="4.37"/>
    <col collapsed="false" customWidth="true" hidden="false" outlineLevel="0" max="6" min="6" style="1" width="4.5"/>
    <col collapsed="false" customWidth="true" hidden="false" outlineLevel="0" max="7" min="7" style="1" width="8.23"/>
    <col collapsed="false" customWidth="true" hidden="false" outlineLevel="0" max="8" min="8" style="1" width="11.21"/>
    <col collapsed="false" customWidth="true" hidden="false" outlineLevel="0" max="9" min="9" style="1" width="20"/>
    <col collapsed="false" customWidth="true" hidden="false" outlineLevel="0" max="10" min="10" style="1" width="18.86"/>
    <col collapsed="false" customWidth="true" hidden="false" outlineLevel="0" max="11" min="11" style="1" width="17.86"/>
    <col collapsed="false" customWidth="true" hidden="false" outlineLevel="0" max="64" min="12" style="1" width="8.62"/>
  </cols>
  <sheetData>
    <row r="1" customFormat="false" ht="15.25" hidden="false" customHeight="true" outlineLevel="0" collapsed="false">
      <c r="B1" s="3"/>
      <c r="C1" s="3"/>
      <c r="D1" s="3"/>
      <c r="I1" s="4" t="s">
        <v>0</v>
      </c>
    </row>
    <row r="2" customFormat="false" ht="18.75" hidden="false" customHeight="true" outlineLevel="0" collapsed="false">
      <c r="B2" s="5" t="s">
        <v>1</v>
      </c>
      <c r="C2" s="6"/>
      <c r="D2" s="6"/>
      <c r="I2" s="7" t="n">
        <v>46197</v>
      </c>
    </row>
    <row r="3" customFormat="false" ht="18.75" hidden="false" customHeight="true" outlineLevel="0" collapsed="false">
      <c r="B3" s="8" t="s">
        <v>2</v>
      </c>
      <c r="C3" s="8"/>
      <c r="D3" s="8" t="s">
        <v>3</v>
      </c>
    </row>
    <row r="4" customFormat="false" ht="9.55" hidden="false" customHeight="true" outlineLevel="0" collapsed="false">
      <c r="B4" s="8"/>
      <c r="C4" s="8"/>
      <c r="D4" s="8"/>
      <c r="H4" s="9"/>
    </row>
    <row r="5" customFormat="false" ht="18.75" hidden="false" customHeight="true" outlineLevel="0" collapsed="false">
      <c r="B5" s="10" t="s">
        <v>4</v>
      </c>
      <c r="C5" s="11" t="s">
        <v>5</v>
      </c>
      <c r="D5" s="12"/>
      <c r="G5" s="13" t="s">
        <v>6</v>
      </c>
    </row>
    <row r="6" customFormat="false" ht="18.75" hidden="false" customHeight="true" outlineLevel="0" collapsed="false">
      <c r="B6" s="14" t="s">
        <v>7</v>
      </c>
      <c r="C6" s="15" t="s">
        <v>8</v>
      </c>
      <c r="D6" s="16"/>
      <c r="G6" s="17" t="s">
        <v>9</v>
      </c>
      <c r="H6" s="18"/>
    </row>
    <row r="7" customFormat="false" ht="18.75" hidden="false" customHeight="true" outlineLevel="0" collapsed="false">
      <c r="B7" s="14" t="s">
        <v>10</v>
      </c>
      <c r="C7" s="15"/>
      <c r="D7" s="16"/>
      <c r="G7" s="19" t="s">
        <v>11</v>
      </c>
      <c r="H7" s="20"/>
    </row>
    <row r="8" customFormat="false" ht="18.75" hidden="false" customHeight="true" outlineLevel="0" collapsed="false">
      <c r="B8" s="14" t="s">
        <v>12</v>
      </c>
      <c r="C8" s="15"/>
      <c r="D8" s="16"/>
      <c r="G8" s="21" t="s">
        <v>13</v>
      </c>
      <c r="H8" s="22" t="s">
        <v>14</v>
      </c>
      <c r="I8" s="22"/>
    </row>
    <row r="9" customFormat="false" ht="18.75" hidden="false" customHeight="true" outlineLevel="0" collapsed="false">
      <c r="B9" s="14" t="s">
        <v>15</v>
      </c>
      <c r="C9" s="15" t="s">
        <v>16</v>
      </c>
      <c r="D9" s="16"/>
    </row>
    <row r="10" customFormat="false" ht="19.75" hidden="false" customHeight="true" outlineLevel="0" collapsed="false">
      <c r="B10" s="23" t="s">
        <v>17</v>
      </c>
      <c r="C10" s="24" t="n">
        <f aca="false">I38</f>
        <v>36894</v>
      </c>
      <c r="D10" s="24"/>
      <c r="E10" s="25" t="s">
        <v>18</v>
      </c>
    </row>
    <row r="12" customFormat="false" ht="18.75" hidden="false" customHeight="true" outlineLevel="0" collapsed="false">
      <c r="A12" s="26" t="s">
        <v>19</v>
      </c>
      <c r="B12" s="26" t="s">
        <v>20</v>
      </c>
      <c r="C12" s="26"/>
      <c r="D12" s="26" t="s">
        <v>21</v>
      </c>
      <c r="E12" s="26" t="s">
        <v>22</v>
      </c>
      <c r="F12" s="26" t="s">
        <v>23</v>
      </c>
      <c r="G12" s="26" t="s">
        <v>24</v>
      </c>
      <c r="H12" s="26" t="s">
        <v>25</v>
      </c>
      <c r="I12" s="26" t="s">
        <v>26</v>
      </c>
      <c r="J12" s="26" t="s">
        <v>27</v>
      </c>
      <c r="K12" s="26"/>
    </row>
    <row r="13" customFormat="false" ht="20.55" hidden="false" customHeight="true" outlineLevel="0" collapsed="false">
      <c r="A13" s="27" t="n">
        <v>1</v>
      </c>
      <c r="B13" s="28" t="s">
        <v>28</v>
      </c>
      <c r="C13" s="28"/>
      <c r="D13" s="29" t="s">
        <v>29</v>
      </c>
      <c r="E13" s="30" t="n">
        <v>1</v>
      </c>
      <c r="F13" s="30" t="s">
        <v>30</v>
      </c>
      <c r="G13" s="30" t="n">
        <v>33800</v>
      </c>
      <c r="H13" s="31" t="n">
        <f aca="false">33800*0.8</f>
        <v>27040</v>
      </c>
      <c r="I13" s="32" t="n">
        <f aca="false">IF(E13*H13=0," ",E13*H13)</f>
        <v>27040</v>
      </c>
      <c r="J13" s="33"/>
      <c r="K13" s="34"/>
    </row>
    <row r="14" customFormat="false" ht="18.75" hidden="false" customHeight="true" outlineLevel="0" collapsed="false">
      <c r="A14" s="35" t="n">
        <v>2</v>
      </c>
      <c r="B14" s="36" t="s">
        <v>31</v>
      </c>
      <c r="C14" s="37"/>
      <c r="D14" s="38"/>
      <c r="E14" s="39" t="n">
        <v>1</v>
      </c>
      <c r="F14" s="39" t="s">
        <v>30</v>
      </c>
      <c r="G14" s="40"/>
      <c r="H14" s="39" t="n">
        <v>6500</v>
      </c>
      <c r="I14" s="41" t="n">
        <f aca="false">IF(E14*H14=0," ",E14*H14)</f>
        <v>6500</v>
      </c>
      <c r="J14" s="42"/>
      <c r="K14" s="43"/>
    </row>
    <row r="15" customFormat="false" ht="18.75" hidden="false" customHeight="true" outlineLevel="0" collapsed="false">
      <c r="A15" s="27"/>
      <c r="B15" s="44" t="s">
        <v>32</v>
      </c>
      <c r="C15" s="44"/>
      <c r="D15" s="45"/>
      <c r="E15" s="30"/>
      <c r="F15" s="30"/>
      <c r="G15" s="46"/>
      <c r="H15" s="47"/>
      <c r="I15" s="48" t="str">
        <f aca="false">IF(E15*H15=0," ",E15*H15)</f>
        <v> </v>
      </c>
      <c r="J15" s="33"/>
      <c r="K15" s="34"/>
    </row>
    <row r="16" customFormat="false" ht="18.75" hidden="false" customHeight="true" outlineLevel="0" collapsed="false">
      <c r="A16" s="35"/>
      <c r="B16" s="36"/>
      <c r="C16" s="37"/>
      <c r="D16" s="38"/>
      <c r="E16" s="39"/>
      <c r="F16" s="39"/>
      <c r="G16" s="40"/>
      <c r="H16" s="49"/>
      <c r="I16" s="50" t="str">
        <f aca="false">IF(E16*H16=0," ",E16*H16)</f>
        <v> </v>
      </c>
      <c r="J16" s="42"/>
      <c r="K16" s="43"/>
    </row>
    <row r="17" customFormat="false" ht="18.75" hidden="false" customHeight="true" outlineLevel="0" collapsed="false">
      <c r="A17" s="27"/>
      <c r="B17" s="51"/>
      <c r="C17" s="51"/>
      <c r="D17" s="52"/>
      <c r="E17" s="30"/>
      <c r="F17" s="30"/>
      <c r="G17" s="46"/>
      <c r="H17" s="53"/>
      <c r="I17" s="54" t="str">
        <f aca="false">IF(E17*H17=0," ",E17*H17)</f>
        <v> </v>
      </c>
      <c r="J17" s="33"/>
      <c r="K17" s="34"/>
    </row>
    <row r="18" customFormat="false" ht="18.75" hidden="false" customHeight="true" outlineLevel="0" collapsed="false">
      <c r="A18" s="35"/>
      <c r="B18" s="36"/>
      <c r="C18" s="37"/>
      <c r="D18" s="55"/>
      <c r="E18" s="39"/>
      <c r="F18" s="39"/>
      <c r="G18" s="40"/>
      <c r="H18" s="56"/>
      <c r="I18" s="57" t="str">
        <f aca="false">IF(E18*H18=0," ",E18*H18)</f>
        <v> </v>
      </c>
      <c r="J18" s="42"/>
      <c r="K18" s="43"/>
    </row>
    <row r="19" customFormat="false" ht="18.75" hidden="false" customHeight="true" outlineLevel="0" collapsed="false">
      <c r="A19" s="27"/>
      <c r="B19" s="58"/>
      <c r="C19" s="59"/>
      <c r="D19" s="52"/>
      <c r="E19" s="30"/>
      <c r="F19" s="30"/>
      <c r="G19" s="46"/>
      <c r="H19" s="53"/>
      <c r="I19" s="54" t="str">
        <f aca="false">IF(E19*H19=0," ",E19*H19)</f>
        <v> </v>
      </c>
      <c r="J19" s="33"/>
      <c r="K19" s="34"/>
    </row>
    <row r="20" customFormat="false" ht="18.75" hidden="false" customHeight="true" outlineLevel="0" collapsed="false">
      <c r="A20" s="35"/>
      <c r="B20" s="36"/>
      <c r="C20" s="37"/>
      <c r="D20" s="55"/>
      <c r="E20" s="39"/>
      <c r="F20" s="39"/>
      <c r="G20" s="40"/>
      <c r="H20" s="56"/>
      <c r="I20" s="57" t="str">
        <f aca="false">IF(E20*H20=0," ",E20*H20)</f>
        <v> </v>
      </c>
      <c r="J20" s="42"/>
      <c r="K20" s="43"/>
    </row>
    <row r="21" customFormat="false" ht="18.75" hidden="false" customHeight="true" outlineLevel="0" collapsed="false">
      <c r="A21" s="27"/>
      <c r="B21" s="58"/>
      <c r="C21" s="58"/>
      <c r="D21" s="52"/>
      <c r="E21" s="30"/>
      <c r="F21" s="30"/>
      <c r="G21" s="46"/>
      <c r="H21" s="53"/>
      <c r="I21" s="54" t="str">
        <f aca="false">IF(E21*H21=0," ",E21*H21)</f>
        <v> </v>
      </c>
      <c r="J21" s="33"/>
      <c r="K21" s="34"/>
    </row>
    <row r="22" customFormat="false" ht="18.75" hidden="false" customHeight="true" outlineLevel="0" collapsed="false">
      <c r="A22" s="35"/>
      <c r="B22" s="36"/>
      <c r="C22" s="37"/>
      <c r="D22" s="55"/>
      <c r="E22" s="39"/>
      <c r="F22" s="39"/>
      <c r="G22" s="40"/>
      <c r="H22" s="56"/>
      <c r="I22" s="57" t="str">
        <f aca="false">IF(E22*H22=0," ",E22*H22)</f>
        <v> </v>
      </c>
      <c r="J22" s="42"/>
      <c r="K22" s="43"/>
    </row>
    <row r="23" customFormat="false" ht="18.75" hidden="false" customHeight="true" outlineLevel="0" collapsed="false">
      <c r="A23" s="27"/>
      <c r="B23" s="58"/>
      <c r="C23" s="59"/>
      <c r="D23" s="52"/>
      <c r="E23" s="30"/>
      <c r="F23" s="30"/>
      <c r="G23" s="46"/>
      <c r="H23" s="53"/>
      <c r="I23" s="54" t="str">
        <f aca="false">IF(E23*H23=0," ",E23*H23)</f>
        <v> </v>
      </c>
      <c r="J23" s="33"/>
      <c r="K23" s="34"/>
    </row>
    <row r="24" customFormat="false" ht="18.75" hidden="false" customHeight="true" outlineLevel="0" collapsed="false">
      <c r="A24" s="35"/>
      <c r="B24" s="36"/>
      <c r="C24" s="37"/>
      <c r="D24" s="55"/>
      <c r="E24" s="39"/>
      <c r="F24" s="39"/>
      <c r="G24" s="40"/>
      <c r="H24" s="56"/>
      <c r="I24" s="57" t="str">
        <f aca="false">IF(E24*H24=0," ",E24*H24)</f>
        <v> </v>
      </c>
      <c r="J24" s="42"/>
      <c r="K24" s="43"/>
    </row>
    <row r="25" customFormat="false" ht="18.75" hidden="false" customHeight="true" outlineLevel="0" collapsed="false">
      <c r="A25" s="27"/>
      <c r="B25" s="58"/>
      <c r="C25" s="59"/>
      <c r="D25" s="52"/>
      <c r="E25" s="30"/>
      <c r="F25" s="30"/>
      <c r="G25" s="46"/>
      <c r="H25" s="53"/>
      <c r="I25" s="54" t="str">
        <f aca="false">IF(E25*H25=0," ",E25*H25)</f>
        <v> </v>
      </c>
      <c r="J25" s="33"/>
      <c r="K25" s="34"/>
    </row>
    <row r="26" customFormat="false" ht="18.75" hidden="false" customHeight="true" outlineLevel="0" collapsed="false">
      <c r="A26" s="35"/>
      <c r="B26" s="36"/>
      <c r="C26" s="37"/>
      <c r="D26" s="55"/>
      <c r="E26" s="39"/>
      <c r="F26" s="39"/>
      <c r="G26" s="40"/>
      <c r="H26" s="56"/>
      <c r="I26" s="57" t="str">
        <f aca="false">IF(E26*H26=0," ",E26*H26)</f>
        <v> </v>
      </c>
      <c r="J26" s="42"/>
      <c r="K26" s="43"/>
    </row>
    <row r="27" customFormat="false" ht="18.75" hidden="false" customHeight="true" outlineLevel="0" collapsed="false">
      <c r="A27" s="27"/>
      <c r="B27" s="58"/>
      <c r="C27" s="59"/>
      <c r="D27" s="52"/>
      <c r="E27" s="30"/>
      <c r="F27" s="30"/>
      <c r="G27" s="46"/>
      <c r="H27" s="53"/>
      <c r="I27" s="54" t="str">
        <f aca="false">IF(E27*H27=0," ",E27*H27)</f>
        <v> </v>
      </c>
      <c r="J27" s="33"/>
      <c r="K27" s="34"/>
    </row>
    <row r="28" customFormat="false" ht="18.75" hidden="false" customHeight="true" outlineLevel="0" collapsed="false">
      <c r="A28" s="35"/>
      <c r="B28" s="36"/>
      <c r="C28" s="37"/>
      <c r="D28" s="55"/>
      <c r="E28" s="39"/>
      <c r="F28" s="39"/>
      <c r="G28" s="40"/>
      <c r="H28" s="56"/>
      <c r="I28" s="57" t="str">
        <f aca="false">IF(E28*H28=0," ",E28*H28)</f>
        <v> </v>
      </c>
      <c r="J28" s="42"/>
      <c r="K28" s="43"/>
    </row>
    <row r="29" customFormat="false" ht="18.75" hidden="false" customHeight="true" outlineLevel="0" collapsed="false">
      <c r="A29" s="27"/>
      <c r="B29" s="58"/>
      <c r="C29" s="59"/>
      <c r="D29" s="52"/>
      <c r="E29" s="30"/>
      <c r="F29" s="30"/>
      <c r="G29" s="46"/>
      <c r="H29" s="53"/>
      <c r="I29" s="54" t="str">
        <f aca="false">IF(E29*H29=0," ",E29*H29)</f>
        <v> </v>
      </c>
      <c r="J29" s="33"/>
      <c r="K29" s="34"/>
    </row>
    <row r="30" customFormat="false" ht="18.75" hidden="false" customHeight="true" outlineLevel="0" collapsed="false">
      <c r="A30" s="35"/>
      <c r="B30" s="36"/>
      <c r="C30" s="37"/>
      <c r="D30" s="55"/>
      <c r="E30" s="39"/>
      <c r="F30" s="39"/>
      <c r="G30" s="40"/>
      <c r="H30" s="56"/>
      <c r="I30" s="57" t="str">
        <f aca="false">IF(E30*H30=0," ",E30*H30)</f>
        <v> </v>
      </c>
      <c r="J30" s="42"/>
      <c r="K30" s="43"/>
    </row>
    <row r="31" customFormat="false" ht="18.75" hidden="false" customHeight="true" outlineLevel="0" collapsed="false">
      <c r="A31" s="27"/>
      <c r="B31" s="58"/>
      <c r="C31" s="59"/>
      <c r="D31" s="52"/>
      <c r="E31" s="30"/>
      <c r="F31" s="30"/>
      <c r="G31" s="46"/>
      <c r="H31" s="53"/>
      <c r="I31" s="54" t="str">
        <f aca="false">IF(E31*H31=0," ",E31*H31)</f>
        <v> </v>
      </c>
      <c r="J31" s="33"/>
      <c r="K31" s="34"/>
    </row>
    <row r="32" customFormat="false" ht="18.75" hidden="false" customHeight="true" outlineLevel="0" collapsed="false">
      <c r="A32" s="35"/>
      <c r="B32" s="36"/>
      <c r="C32" s="37"/>
      <c r="D32" s="55"/>
      <c r="E32" s="39"/>
      <c r="F32" s="39"/>
      <c r="G32" s="40"/>
      <c r="H32" s="56"/>
      <c r="I32" s="57" t="str">
        <f aca="false">IF(E32*H32=0," ",E32*H32)</f>
        <v> </v>
      </c>
      <c r="J32" s="42"/>
      <c r="K32" s="43"/>
    </row>
    <row r="33" customFormat="false" ht="18.75" hidden="false" customHeight="true" outlineLevel="0" collapsed="false">
      <c r="A33" s="27"/>
      <c r="B33" s="58"/>
      <c r="C33" s="59"/>
      <c r="D33" s="52"/>
      <c r="E33" s="30"/>
      <c r="F33" s="30"/>
      <c r="G33" s="46"/>
      <c r="H33" s="53"/>
      <c r="I33" s="54" t="str">
        <f aca="false">IF(E33*H33=0," ",E33*H33)</f>
        <v> </v>
      </c>
      <c r="J33" s="33"/>
      <c r="K33" s="34"/>
    </row>
    <row r="34" customFormat="false" ht="18.75" hidden="false" customHeight="true" outlineLevel="0" collapsed="false">
      <c r="A34" s="35"/>
      <c r="B34" s="36"/>
      <c r="C34" s="37"/>
      <c r="D34" s="55"/>
      <c r="E34" s="39"/>
      <c r="F34" s="39"/>
      <c r="G34" s="40"/>
      <c r="H34" s="56"/>
      <c r="I34" s="57" t="str">
        <f aca="false">IF(E34*H34=0," ",E34*H34)</f>
        <v> </v>
      </c>
      <c r="J34" s="42"/>
      <c r="K34" s="43"/>
    </row>
    <row r="35" customFormat="false" ht="18.75" hidden="false" customHeight="true" outlineLevel="0" collapsed="false">
      <c r="A35" s="27"/>
      <c r="B35" s="58"/>
      <c r="C35" s="59"/>
      <c r="D35" s="52"/>
      <c r="E35" s="30"/>
      <c r="F35" s="30"/>
      <c r="G35" s="46"/>
      <c r="H35" s="53"/>
      <c r="I35" s="54" t="str">
        <f aca="false">IF(E35*H35=0," ",E35*H35)</f>
        <v> </v>
      </c>
      <c r="J35" s="33"/>
      <c r="K35" s="34"/>
    </row>
    <row r="36" customFormat="false" ht="18.75" hidden="false" customHeight="true" outlineLevel="0" collapsed="false">
      <c r="A36" s="60"/>
      <c r="B36" s="61"/>
      <c r="C36" s="61"/>
      <c r="D36" s="61"/>
      <c r="E36" s="62" t="s">
        <v>33</v>
      </c>
      <c r="F36" s="62"/>
      <c r="G36" s="62"/>
      <c r="H36" s="62"/>
      <c r="I36" s="63" t="n">
        <f aca="false">SUM(I13:I35)</f>
        <v>33540</v>
      </c>
      <c r="J36" s="64"/>
      <c r="K36" s="64"/>
    </row>
    <row r="37" customFormat="false" ht="18.75" hidden="false" customHeight="true" outlineLevel="0" collapsed="false">
      <c r="A37" s="60" t="s">
        <v>34</v>
      </c>
      <c r="B37" s="61"/>
      <c r="C37" s="61"/>
      <c r="D37" s="61"/>
      <c r="E37" s="62" t="s">
        <v>35</v>
      </c>
      <c r="F37" s="62"/>
      <c r="G37" s="62"/>
      <c r="H37" s="62"/>
      <c r="I37" s="63" t="n">
        <f aca="false">I36*0.1</f>
        <v>3354</v>
      </c>
      <c r="J37" s="64"/>
      <c r="K37" s="64"/>
    </row>
    <row r="38" customFormat="false" ht="29.25" hidden="false" customHeight="true" outlineLevel="0" collapsed="false">
      <c r="A38" s="65"/>
      <c r="B38" s="66"/>
      <c r="C38" s="66"/>
      <c r="D38" s="66"/>
      <c r="E38" s="62" t="s">
        <v>36</v>
      </c>
      <c r="F38" s="62"/>
      <c r="G38" s="62"/>
      <c r="H38" s="62"/>
      <c r="I38" s="67" t="n">
        <f aca="false">SUM(I36:I37)</f>
        <v>36894</v>
      </c>
      <c r="J38" s="64"/>
      <c r="K38" s="64"/>
    </row>
    <row r="39" customFormat="false" ht="18.75" hidden="false" customHeight="true" outlineLevel="0" collapsed="false">
      <c r="A39" s="68" t="s">
        <v>37</v>
      </c>
      <c r="B39" s="69"/>
      <c r="C39" s="69"/>
      <c r="D39" s="70"/>
      <c r="E39" s="69"/>
      <c r="F39" s="70"/>
      <c r="G39" s="70"/>
      <c r="H39" s="70"/>
      <c r="I39" s="71"/>
      <c r="J39" s="68"/>
    </row>
    <row r="40" customFormat="false" ht="18.75" hidden="false" customHeight="true" outlineLevel="0" collapsed="false">
      <c r="A40" s="72"/>
      <c r="B40" s="73" t="s">
        <v>38</v>
      </c>
      <c r="C40" s="73"/>
      <c r="D40" s="73"/>
      <c r="E40" s="74"/>
      <c r="F40" s="73"/>
      <c r="G40" s="73"/>
      <c r="H40" s="73"/>
      <c r="I40" s="75"/>
      <c r="J40" s="70"/>
    </row>
    <row r="41" customFormat="false" ht="18.75" hidden="false" customHeight="true" outlineLevel="0" collapsed="false">
      <c r="A41" s="72"/>
      <c r="B41" s="73"/>
      <c r="C41" s="73"/>
      <c r="D41" s="73"/>
      <c r="E41" s="74"/>
      <c r="F41" s="73"/>
      <c r="G41" s="73"/>
      <c r="H41" s="73"/>
      <c r="I41" s="75"/>
      <c r="J41" s="70"/>
    </row>
    <row r="42" customFormat="false" ht="18.75" hidden="false" customHeight="true" outlineLevel="0" collapsed="false">
      <c r="A42" s="76"/>
      <c r="B42" s="77"/>
      <c r="C42" s="77"/>
      <c r="D42" s="77"/>
      <c r="E42" s="78"/>
      <c r="F42" s="77"/>
      <c r="G42" s="77"/>
      <c r="H42" s="77"/>
      <c r="I42" s="79"/>
    </row>
    <row r="65533" customFormat="false" ht="18.75" hidden="false" customHeight="true" outlineLevel="0" collapsed="false"/>
    <row r="65534" customFormat="false" ht="12.85" hidden="false" customHeight="true" outlineLevel="0" collapsed="false"/>
    <row r="65535" customFormat="false" ht="12.85" hidden="false" customHeight="true" outlineLevel="0" collapsed="false"/>
    <row r="1048576" customFormat="false" ht="12.8" hidden="false" customHeight="true" outlineLevel="0" collapsed="false"/>
  </sheetData>
  <mergeCells count="10">
    <mergeCell ref="B3:D3"/>
    <mergeCell ref="C10:D10"/>
    <mergeCell ref="B12:C12"/>
    <mergeCell ref="B13:C13"/>
    <mergeCell ref="B15:C15"/>
    <mergeCell ref="B17:C17"/>
    <mergeCell ref="B21:C21"/>
    <mergeCell ref="E36:H36"/>
    <mergeCell ref="E37:H37"/>
    <mergeCell ref="E38:H38"/>
  </mergeCells>
  <dataValidations count="1">
    <dataValidation allowBlank="true" errorStyle="stop" operator="equal" showDropDown="false" showErrorMessage="true" showInputMessage="false" sqref="B2:B3 C5:C9 B13:B15 D13:D35 F13:F35 C14 B16:C35 B40:I42" type="none">
      <formula1>0</formula1>
      <formula2>0</formula2>
    </dataValidation>
  </dataValidations>
  <printOptions headings="false" gridLines="false" gridLinesSet="true" horizontalCentered="false" verticalCentered="false"/>
  <pageMargins left="0.2" right="0.0993055555555556" top="0.625" bottom="0.105555555555556" header="0.190277777777778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Roman,標準"&amp;12御見積書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CREW見積書</Template>
  <TotalTime>3619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2020-08-13T18:00:03Z</dcterms:created>
  <dc:creator/>
  <dc:description/>
  <dc:language>ja-JP</dc:language>
  <cp:lastModifiedBy/>
  <cp:lastPrinted>2024-01-23T11:04:06Z</cp:lastPrinted>
  <dcterms:modified xsi:type="dcterms:W3CDTF">2026-06-24T09:19:33Z</dcterms:modified>
  <cp:revision>27</cp:revision>
  <dc:subject/>
  <dc:title>CREW見積書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